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20b79c8548a566/Desktop/Github File Retail Analysis/Project 1/"/>
    </mc:Choice>
  </mc:AlternateContent>
  <xr:revisionPtr revIDLastSave="301" documentId="8_{4D817C14-CA34-42DB-B89E-9F6EA1C27ACC}" xr6:coauthVersionLast="47" xr6:coauthVersionMax="47" xr10:uidLastSave="{99C9A236-7B0A-4DEB-A2EA-F6CCDEEF09D5}"/>
  <bookViews>
    <workbookView xWindow="-108" yWindow="-108" windowWidth="23256" windowHeight="12456" activeTab="1" xr2:uid="{BA0248E0-CC90-4B1B-9122-8E316628182A}"/>
  </bookViews>
  <sheets>
    <sheet name="Dashboard" sheetId="2" r:id="rId1"/>
    <sheet name="Report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2" i="1" l="1"/>
</calcChain>
</file>

<file path=xl/sharedStrings.xml><?xml version="1.0" encoding="utf-8"?>
<sst xmlns="http://schemas.openxmlformats.org/spreadsheetml/2006/main" count="49" uniqueCount="36">
  <si>
    <t>response</t>
  </si>
  <si>
    <t>customer_segment</t>
  </si>
  <si>
    <t>At Risk</t>
  </si>
  <si>
    <t>Big Spenders Lost</t>
  </si>
  <si>
    <t>Champions</t>
  </si>
  <si>
    <t>Churned</t>
  </si>
  <si>
    <t>Loyal Customers</t>
  </si>
  <si>
    <t>Medium Value</t>
  </si>
  <si>
    <t>Total_count</t>
  </si>
  <si>
    <t>Total transaction count by each response</t>
  </si>
  <si>
    <t xml:space="preserve">INSIGHT </t>
  </si>
  <si>
    <t>Recommendation</t>
  </si>
  <si>
    <t>year_date</t>
  </si>
  <si>
    <t>revenue</t>
  </si>
  <si>
    <t>previous_year_revenue</t>
  </si>
  <si>
    <t>Yoy_diff</t>
  </si>
  <si>
    <t>percent_YOY</t>
  </si>
  <si>
    <t>Months</t>
  </si>
  <si>
    <t>current_month_amount</t>
  </si>
  <si>
    <t>prev_month_amount</t>
  </si>
  <si>
    <t>MOM_difference</t>
  </si>
  <si>
    <t>MOM_percentage</t>
  </si>
  <si>
    <t>RFM Analysis</t>
  </si>
  <si>
    <t>Total Count</t>
  </si>
  <si>
    <t>Total Customers</t>
  </si>
  <si>
    <t>MOM Analysis</t>
  </si>
  <si>
    <t>YOY Analysis</t>
  </si>
  <si>
    <t>Percentage of Cust</t>
  </si>
  <si>
    <t>Top 5 Customer by their Spent</t>
  </si>
  <si>
    <t>customer_id</t>
  </si>
  <si>
    <t>Total_spent</t>
  </si>
  <si>
    <t>CS4424</t>
  </si>
  <si>
    <t>CS4320</t>
  </si>
  <si>
    <t>CS5752</t>
  </si>
  <si>
    <t>CS4660</t>
  </si>
  <si>
    <t>CS3799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</si>
</sst>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4" fontId="2" fillId="2" borderId="0" xfId="0" applyNumberFormat="1" applyFont="1" applyFill="1" applyAlignment="1">
      <alignment horizontal="right" vertical="center" wrapText="1"/>
    </xf>
    <xf numFmtId="0" fontId="3" fillId="0" borderId="0" xfId="0" applyFont="1"/>
    <xf numFmtId="0" fontId="4" fillId="0" borderId="0" xfId="0" applyFont="1"/>
    <xf numFmtId="2" fontId="0" fillId="0" borderId="0" xfId="0" applyNumberFormat="1"/>
    <xf numFmtId="164" fontId="0" fillId="0" borderId="0" xfId="0" applyNumberFormat="1"/>
    <xf numFmtId="0" fontId="7" fillId="0" borderId="0" xfId="0" applyFont="1"/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Reportng!$C$56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Reportng!$B$57:$B$61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Reportng!$C$57:$C$61</c:f>
              <c:numCache>
                <c:formatCode>General</c:formatCode>
                <c:ptCount val="5"/>
                <c:pt idx="0">
                  <c:v>1340339</c:v>
                </c:pt>
                <c:pt idx="1">
                  <c:v>2116599</c:v>
                </c:pt>
                <c:pt idx="2">
                  <c:v>2137368</c:v>
                </c:pt>
                <c:pt idx="3">
                  <c:v>2094508</c:v>
                </c:pt>
                <c:pt idx="4">
                  <c:v>435175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5-4173-8243-A1CA21706F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63927311"/>
        <c:axId val="1963934031"/>
      </c:barChart>
      <c:catAx>
        <c:axId val="196392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34031"/>
        <c:crosses val="autoZero"/>
        <c:auto val="1"/>
        <c:lblAlgn val="ctr"/>
        <c:lblOffset val="100"/>
        <c:noMultiLvlLbl val="0"/>
      </c:catAx>
      <c:valAx>
        <c:axId val="196393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2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Reportng!$F$56</c:f>
              <c:strCache>
                <c:ptCount val="1"/>
                <c:pt idx="0">
                  <c:v>percent_YOY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6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Reportng!$B$57:$B$61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Reportng!$F$57:$F$61</c:f>
              <c:numCache>
                <c:formatCode>0.0</c:formatCode>
                <c:ptCount val="5"/>
                <c:pt idx="1">
                  <c:v>57.915199065311</c:v>
                </c:pt>
                <c:pt idx="2">
                  <c:v>0.98124396732682895</c:v>
                </c:pt>
                <c:pt idx="3">
                  <c:v>-2.0052700330499902</c:v>
                </c:pt>
                <c:pt idx="4">
                  <c:v>-79.223044266242894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7-4A44-9131-2A9E81B730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34624879"/>
        <c:axId val="2034625359"/>
      </c:lineChart>
      <c:catAx>
        <c:axId val="2034624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625359"/>
        <c:crosses val="autoZero"/>
        <c:auto val="1"/>
        <c:lblAlgn val="ctr"/>
        <c:lblOffset val="100"/>
        <c:noMultiLvlLbl val="0"/>
      </c:catAx>
      <c:valAx>
        <c:axId val="20346253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62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Transaction Response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Reportng!$C$32</c:f>
              <c:strCache>
                <c:ptCount val="1"/>
                <c:pt idx="0">
                  <c:v>Total_count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Reportng!$B$33:$B$34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Reportng!$C$33:$C$34</c:f>
              <c:numCache>
                <c:formatCode>General</c:formatCode>
                <c:ptCount val="2"/>
                <c:pt idx="0">
                  <c:v>111158</c:v>
                </c:pt>
                <c:pt idx="1">
                  <c:v>13842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B-44CF-B93F-A24E51E0FE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83642799"/>
        <c:axId val="18836437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Reportng!$B$32</c15:sqref>
                        </c15:formulaRef>
                      </c:ext>
                    </c:extLst>
                    <c:strCache>
                      <c:ptCount val="1"/>
                      <c:pt idx="0">
                        <c:v>response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Reportng!$B$33:$B$34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Reportng!$B$33:$B$34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34B-44CF-B93F-A24E51E0FE56}"/>
                  </c:ext>
                </c:extLst>
              </c15:ser>
            </c15:filteredBarSeries>
          </c:ext>
        </c:extLst>
      </c:barChart>
      <c:catAx>
        <c:axId val="188364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643759"/>
        <c:crosses val="autoZero"/>
        <c:auto val="1"/>
        <c:lblAlgn val="ctr"/>
        <c:lblOffset val="100"/>
        <c:noMultiLvlLbl val="0"/>
      </c:catAx>
      <c:valAx>
        <c:axId val="18836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64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Revenue</a:t>
            </a:r>
            <a:r>
              <a:rPr lang="en-US" b="1" baseline="0"/>
              <a:t> By Month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Reportng!$C$95</c:f>
              <c:strCache>
                <c:ptCount val="1"/>
                <c:pt idx="0">
                  <c:v>current_month_amount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Reportng!$C$96:$C$107</c:f>
              <c:numCache>
                <c:formatCode>General</c:formatCode>
                <c:ptCount val="12"/>
                <c:pt idx="0">
                  <c:v>724107</c:v>
                </c:pt>
                <c:pt idx="1">
                  <c:v>645154</c:v>
                </c:pt>
                <c:pt idx="2">
                  <c:v>636577</c:v>
                </c:pt>
                <c:pt idx="3">
                  <c:v>515791</c:v>
                </c:pt>
                <c:pt idx="4">
                  <c:v>633212</c:v>
                </c:pt>
                <c:pt idx="5">
                  <c:v>697014</c:v>
                </c:pt>
                <c:pt idx="6">
                  <c:v>717223</c:v>
                </c:pt>
                <c:pt idx="7">
                  <c:v>726921</c:v>
                </c:pt>
                <c:pt idx="8">
                  <c:v>694433</c:v>
                </c:pt>
                <c:pt idx="9">
                  <c:v>725320</c:v>
                </c:pt>
                <c:pt idx="10">
                  <c:v>698273</c:v>
                </c:pt>
                <c:pt idx="11">
                  <c:v>709964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3-48B7-8860-CCC295AEAC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048719231"/>
        <c:axId val="2048721631"/>
      </c:barChart>
      <c:catAx>
        <c:axId val="2048719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721631"/>
        <c:crosses val="autoZero"/>
        <c:auto val="1"/>
        <c:lblAlgn val="ctr"/>
        <c:lblOffset val="100"/>
        <c:noMultiLvlLbl val="0"/>
      </c:catAx>
      <c:valAx>
        <c:axId val="204872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 b="1"/>
                  <a:t>Revenue</a:t>
                </a:r>
                <a:r>
                  <a:rPr lang="en-US" sz="1300" b="1" baseline="0"/>
                  <a:t> </a:t>
                </a:r>
                <a:endParaRPr lang="en-US" sz="13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71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MOM_percentage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Reportng!$F$95</c:f>
              <c:strCache>
                <c:ptCount val="1"/>
                <c:pt idx="0">
                  <c:v>MOM_percentage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Reportng!$B$96:$B$107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Reportng!$F$96:$F$107</c:f>
              <c:numCache>
                <c:formatCode>0.0</c:formatCode>
                <c:ptCount val="12"/>
                <c:pt idx="1">
                  <c:v>-10.9034990685078</c:v>
                </c:pt>
                <c:pt idx="2">
                  <c:v>-1.3294500227852499</c:v>
                </c:pt>
                <c:pt idx="3">
                  <c:v>-18.974295332693401</c:v>
                </c:pt>
                <c:pt idx="4">
                  <c:v>22.7652285518746</c:v>
                </c:pt>
                <c:pt idx="5">
                  <c:v>10.075930336127501</c:v>
                </c:pt>
                <c:pt idx="6">
                  <c:v>2.8993678749637701</c:v>
                </c:pt>
                <c:pt idx="7">
                  <c:v>1.3521596490909999</c:v>
                </c:pt>
                <c:pt idx="8">
                  <c:v>-4.4692614465670903</c:v>
                </c:pt>
                <c:pt idx="9">
                  <c:v>4.4478012997654197</c:v>
                </c:pt>
                <c:pt idx="10">
                  <c:v>-3.7289747973308298</c:v>
                </c:pt>
                <c:pt idx="11">
                  <c:v>1.6742735291211299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F-4869-9D41-CABD4442D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932591"/>
        <c:axId val="1963933071"/>
      </c:scatterChart>
      <c:valAx>
        <c:axId val="196393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33071"/>
        <c:crosses val="autoZero"/>
        <c:crossBetween val="midCat"/>
      </c:valAx>
      <c:valAx>
        <c:axId val="19639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3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RFM</a:t>
            </a:r>
            <a:r>
              <a:rPr lang="en-US" sz="1600" b="1" baseline="0"/>
              <a:t> Counts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Reportng!$E$141</c:f>
              <c:strCache>
                <c:ptCount val="1"/>
                <c:pt idx="0">
                  <c:v>Total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Reportng!$D$142:$D$147</c:f>
              <c:strCache>
                <c:ptCount val="6"/>
                <c:pt idx="0">
                  <c:v>At Risk</c:v>
                </c:pt>
                <c:pt idx="1">
                  <c:v>Big Spenders Lost</c:v>
                </c:pt>
                <c:pt idx="2">
                  <c:v>Champions</c:v>
                </c:pt>
                <c:pt idx="3">
                  <c:v>Churned</c:v>
                </c:pt>
                <c:pt idx="4">
                  <c:v>Loyal Customers</c:v>
                </c:pt>
                <c:pt idx="5">
                  <c:v>Medium Value</c:v>
                </c:pt>
              </c:strCache>
            </c:strRef>
          </c:cat>
          <c:val>
            <c:numRef>
              <c:f>Reportng!$E$142:$E$148</c:f>
              <c:numCache>
                <c:formatCode>General</c:formatCode>
                <c:ptCount val="7"/>
                <c:pt idx="0">
                  <c:v>1251</c:v>
                </c:pt>
                <c:pt idx="1">
                  <c:v>5</c:v>
                </c:pt>
                <c:pt idx="2">
                  <c:v>1220</c:v>
                </c:pt>
                <c:pt idx="3">
                  <c:v>1354</c:v>
                </c:pt>
                <c:pt idx="4">
                  <c:v>1516</c:v>
                </c:pt>
                <c:pt idx="5">
                  <c:v>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E-4297-9679-B9B23FE8B5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9498815"/>
        <c:axId val="20487259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Reportng!$D$141</c15:sqref>
                        </c15:formulaRef>
                      </c:ext>
                    </c:extLst>
                    <c:strCache>
                      <c:ptCount val="1"/>
                      <c:pt idx="0">
                        <c:v>customer_segment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Reportng!$D$142:$D$147</c15:sqref>
                        </c15:formulaRef>
                      </c:ext>
                    </c:extLst>
                    <c:strCache>
                      <c:ptCount val="6"/>
                      <c:pt idx="0">
                        <c:v>At Risk</c:v>
                      </c:pt>
                      <c:pt idx="1">
                        <c:v>Big Spenders Lost</c:v>
                      </c:pt>
                      <c:pt idx="2">
                        <c:v>Champions</c:v>
                      </c:pt>
                      <c:pt idx="3">
                        <c:v>Churned</c:v>
                      </c:pt>
                      <c:pt idx="4">
                        <c:v>Loyal Customers</c:v>
                      </c:pt>
                      <c:pt idx="5">
                        <c:v>Medium Value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Reportng!$D$142:$D$148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95E-4297-9679-B9B23FE8B52D}"/>
                  </c:ext>
                </c:extLst>
              </c15:ser>
            </c15:filteredBarSeries>
          </c:ext>
        </c:extLst>
      </c:barChart>
      <c:catAx>
        <c:axId val="204949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725951"/>
        <c:crosses val="autoZero"/>
        <c:auto val="1"/>
        <c:lblAlgn val="ctr"/>
        <c:lblOffset val="100"/>
        <c:noMultiLvlLbl val="0"/>
      </c:catAx>
      <c:valAx>
        <c:axId val="20487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49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Reportng!$E$175</c:f>
              <c:strCache>
                <c:ptCount val="1"/>
                <c:pt idx="0">
                  <c:v>Percentage of Cust</c:v>
                </c:pt>
              </c:strCache>
            </c:strRef>
          </c:tx>
          <c:explosion val="3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B3-4FF4-98A3-636E8CAC3B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B3-4FF4-98A3-636E8CAC3B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B3-4FF4-98A3-636E8CAC3B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B3-4FF4-98A3-636E8CAC3B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4B3-4FF4-98A3-636E8CAC3B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4B3-4FF4-98A3-636E8CAC3BC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4B3-4FF4-98A3-636E8CAC3BC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4B3-4FF4-98A3-636E8CAC3BC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4B3-4FF4-98A3-636E8CAC3BC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4B3-4FF4-98A3-636E8CAC3BC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4B3-4FF4-98A3-636E8CAC3BC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4B3-4FF4-98A3-636E8CAC3BC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Reportng!$D$176:$D$181</c:f>
              <c:strCache>
                <c:ptCount val="6"/>
                <c:pt idx="0">
                  <c:v>At Risk</c:v>
                </c:pt>
                <c:pt idx="1">
                  <c:v>Big Spenders Lost</c:v>
                </c:pt>
                <c:pt idx="2">
                  <c:v>Champions</c:v>
                </c:pt>
                <c:pt idx="3">
                  <c:v>Churned</c:v>
                </c:pt>
                <c:pt idx="4">
                  <c:v>Loyal Customers</c:v>
                </c:pt>
                <c:pt idx="5">
                  <c:v>Medium Value</c:v>
                </c:pt>
              </c:strCache>
            </c:strRef>
          </c:cat>
          <c:val>
            <c:numRef>
              <c:f>Reportng!$E$176:$E$181</c:f>
              <c:numCache>
                <c:formatCode>0.00</c:formatCode>
                <c:ptCount val="6"/>
                <c:pt idx="0">
                  <c:v>18.159384526056002</c:v>
                </c:pt>
                <c:pt idx="1">
                  <c:v>7.2579474524604407E-2</c:v>
                </c:pt>
                <c:pt idx="2">
                  <c:v>17.709391784003401</c:v>
                </c:pt>
                <c:pt idx="3">
                  <c:v>19.654521701262802</c:v>
                </c:pt>
                <c:pt idx="4">
                  <c:v>22.00609667586</c:v>
                </c:pt>
                <c:pt idx="5">
                  <c:v>22.398025838292899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B3-4FF4-98A3-636E8CAC3B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Customer Spent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Reportng!$D$13</c:f>
              <c:strCache>
                <c:ptCount val="1"/>
                <c:pt idx="0">
                  <c:v>Total_spent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Reportng!$C$14:$C$18</c:f>
              <c:strCache>
                <c:ptCount val="5"/>
                <c:pt idx="0">
                  <c:v>CS4424</c:v>
                </c:pt>
                <c:pt idx="1">
                  <c:v>CS4320</c:v>
                </c:pt>
                <c:pt idx="2">
                  <c:v>CS5752</c:v>
                </c:pt>
                <c:pt idx="3">
                  <c:v>CS4660</c:v>
                </c:pt>
                <c:pt idx="4">
                  <c:v>CS3799</c:v>
                </c:pt>
              </c:strCache>
            </c:strRef>
          </c:cat>
          <c:val>
            <c:numRef>
              <c:f>Reportng!$D$14:$D$18</c:f>
              <c:numCache>
                <c:formatCode>General</c:formatCode>
                <c:ptCount val="5"/>
                <c:pt idx="0">
                  <c:v>2933</c:v>
                </c:pt>
                <c:pt idx="1">
                  <c:v>2647</c:v>
                </c:pt>
                <c:pt idx="2">
                  <c:v>2612</c:v>
                </c:pt>
                <c:pt idx="3">
                  <c:v>2527</c:v>
                </c:pt>
                <c:pt idx="4">
                  <c:v>2513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A-4C5D-8FAC-B52B4CAE91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473167"/>
        <c:axId val="179465007"/>
      </c:barChart>
      <c:catAx>
        <c:axId val="17947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5007"/>
        <c:crosses val="autoZero"/>
        <c:auto val="1"/>
        <c:lblAlgn val="ctr"/>
        <c:lblOffset val="100"/>
        <c:noMultiLvlLbl val="0"/>
      </c:catAx>
      <c:valAx>
        <c:axId val="17946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7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Transaction Response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Reportng!$C$32</c:f>
              <c:strCache>
                <c:ptCount val="1"/>
                <c:pt idx="0">
                  <c:v>Total_count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Reportng!$B$33:$B$34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Reportng!$C$33:$C$34</c:f>
              <c:numCache>
                <c:formatCode>General</c:formatCode>
                <c:ptCount val="2"/>
                <c:pt idx="0">
                  <c:v>111158</c:v>
                </c:pt>
                <c:pt idx="1">
                  <c:v>13842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EF-48EF-98C5-2E5C6D35A2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83642799"/>
        <c:axId val="18836437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Reportng!$B$32</c15:sqref>
                        </c15:formulaRef>
                      </c:ext>
                    </c:extLst>
                    <c:strCache>
                      <c:ptCount val="1"/>
                      <c:pt idx="0">
                        <c:v>response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Reportng!$B$33:$B$34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Reportng!$B$33:$B$34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1EF-48EF-98C5-2E5C6D35A200}"/>
                  </c:ext>
                </c:extLst>
              </c15:ser>
            </c15:filteredBarSeries>
          </c:ext>
        </c:extLst>
      </c:barChart>
      <c:catAx>
        <c:axId val="188364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643759"/>
        <c:crosses val="autoZero"/>
        <c:auto val="1"/>
        <c:lblAlgn val="ctr"/>
        <c:lblOffset val="100"/>
        <c:noMultiLvlLbl val="0"/>
      </c:catAx>
      <c:valAx>
        <c:axId val="18836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64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Reportng!$C$56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Reportng!$B$57:$B$61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Reportng!$C$57:$C$61</c:f>
              <c:numCache>
                <c:formatCode>General</c:formatCode>
                <c:ptCount val="5"/>
                <c:pt idx="0">
                  <c:v>1340339</c:v>
                </c:pt>
                <c:pt idx="1">
                  <c:v>2116599</c:v>
                </c:pt>
                <c:pt idx="2">
                  <c:v>2137368</c:v>
                </c:pt>
                <c:pt idx="3">
                  <c:v>2094508</c:v>
                </c:pt>
                <c:pt idx="4">
                  <c:v>435175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3-4C91-BFE3-278E13FFB2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63927311"/>
        <c:axId val="1963934031"/>
      </c:barChart>
      <c:catAx>
        <c:axId val="196392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34031"/>
        <c:crosses val="autoZero"/>
        <c:auto val="1"/>
        <c:lblAlgn val="ctr"/>
        <c:lblOffset val="100"/>
        <c:noMultiLvlLbl val="0"/>
      </c:catAx>
      <c:valAx>
        <c:axId val="196393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2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Reportng!$F$56</c:f>
              <c:strCache>
                <c:ptCount val="1"/>
                <c:pt idx="0">
                  <c:v>percent_YOY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6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Reportng!$B$57:$B$61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Reportng!$F$57:$F$61</c:f>
              <c:numCache>
                <c:formatCode>0.0</c:formatCode>
                <c:ptCount val="5"/>
                <c:pt idx="1">
                  <c:v>57.915199065311</c:v>
                </c:pt>
                <c:pt idx="2">
                  <c:v>0.98124396732682895</c:v>
                </c:pt>
                <c:pt idx="3">
                  <c:v>-2.0052700330499902</c:v>
                </c:pt>
                <c:pt idx="4">
                  <c:v>-79.223044266242894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2-4A83-8400-D3EC9D7E91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34624879"/>
        <c:axId val="2034625359"/>
      </c:lineChart>
      <c:catAx>
        <c:axId val="2034624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625359"/>
        <c:crosses val="autoZero"/>
        <c:auto val="1"/>
        <c:lblAlgn val="ctr"/>
        <c:lblOffset val="100"/>
        <c:noMultiLvlLbl val="0"/>
      </c:catAx>
      <c:valAx>
        <c:axId val="20346253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62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Revenue</a:t>
            </a:r>
            <a:r>
              <a:rPr lang="en-US" b="1" baseline="0"/>
              <a:t> By Month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Reportng!$C$95</c:f>
              <c:strCache>
                <c:ptCount val="1"/>
                <c:pt idx="0">
                  <c:v>current_month_amount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Reportng!$C$96:$C$107</c:f>
              <c:numCache>
                <c:formatCode>General</c:formatCode>
                <c:ptCount val="12"/>
                <c:pt idx="0">
                  <c:v>724107</c:v>
                </c:pt>
                <c:pt idx="1">
                  <c:v>645154</c:v>
                </c:pt>
                <c:pt idx="2">
                  <c:v>636577</c:v>
                </c:pt>
                <c:pt idx="3">
                  <c:v>515791</c:v>
                </c:pt>
                <c:pt idx="4">
                  <c:v>633212</c:v>
                </c:pt>
                <c:pt idx="5">
                  <c:v>697014</c:v>
                </c:pt>
                <c:pt idx="6">
                  <c:v>717223</c:v>
                </c:pt>
                <c:pt idx="7">
                  <c:v>726921</c:v>
                </c:pt>
                <c:pt idx="8">
                  <c:v>694433</c:v>
                </c:pt>
                <c:pt idx="9">
                  <c:v>725320</c:v>
                </c:pt>
                <c:pt idx="10">
                  <c:v>698273</c:v>
                </c:pt>
                <c:pt idx="11">
                  <c:v>709964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38-46EC-B172-E483DE214E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048719231"/>
        <c:axId val="2048721631"/>
      </c:barChart>
      <c:catAx>
        <c:axId val="2048719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721631"/>
        <c:crosses val="autoZero"/>
        <c:auto val="1"/>
        <c:lblAlgn val="ctr"/>
        <c:lblOffset val="100"/>
        <c:noMultiLvlLbl val="0"/>
      </c:catAx>
      <c:valAx>
        <c:axId val="204872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 b="1"/>
                  <a:t>Revenue</a:t>
                </a:r>
                <a:r>
                  <a:rPr lang="en-US" sz="1300" b="1" baseline="0"/>
                  <a:t> </a:t>
                </a:r>
                <a:endParaRPr lang="en-US" sz="13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71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MOM_percentage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Reportng!$F$95</c:f>
              <c:strCache>
                <c:ptCount val="1"/>
                <c:pt idx="0">
                  <c:v>MOM_percentage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Reportng!$B$96:$B$107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Reportng!$F$96:$F$107</c:f>
              <c:numCache>
                <c:formatCode>0.0</c:formatCode>
                <c:ptCount val="12"/>
                <c:pt idx="1">
                  <c:v>-10.9034990685078</c:v>
                </c:pt>
                <c:pt idx="2">
                  <c:v>-1.3294500227852499</c:v>
                </c:pt>
                <c:pt idx="3">
                  <c:v>-18.974295332693401</c:v>
                </c:pt>
                <c:pt idx="4">
                  <c:v>22.7652285518746</c:v>
                </c:pt>
                <c:pt idx="5">
                  <c:v>10.075930336127501</c:v>
                </c:pt>
                <c:pt idx="6">
                  <c:v>2.8993678749637701</c:v>
                </c:pt>
                <c:pt idx="7">
                  <c:v>1.3521596490909999</c:v>
                </c:pt>
                <c:pt idx="8">
                  <c:v>-4.4692614465670903</c:v>
                </c:pt>
                <c:pt idx="9">
                  <c:v>4.4478012997654197</c:v>
                </c:pt>
                <c:pt idx="10">
                  <c:v>-3.7289747973308298</c:v>
                </c:pt>
                <c:pt idx="11">
                  <c:v>1.6742735291211299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F-455E-8921-1C70A61E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932591"/>
        <c:axId val="1963933071"/>
      </c:scatterChart>
      <c:valAx>
        <c:axId val="196393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33071"/>
        <c:crosses val="autoZero"/>
        <c:crossBetween val="midCat"/>
      </c:valAx>
      <c:valAx>
        <c:axId val="19639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93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RFM</a:t>
            </a:r>
            <a:r>
              <a:rPr lang="en-US" sz="1600" b="1" baseline="0"/>
              <a:t> Counts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Reportng!$E$141</c:f>
              <c:strCache>
                <c:ptCount val="1"/>
                <c:pt idx="0">
                  <c:v>Total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Reportng!$D$142:$D$147</c:f>
              <c:strCache>
                <c:ptCount val="6"/>
                <c:pt idx="0">
                  <c:v>At Risk</c:v>
                </c:pt>
                <c:pt idx="1">
                  <c:v>Big Spenders Lost</c:v>
                </c:pt>
                <c:pt idx="2">
                  <c:v>Champions</c:v>
                </c:pt>
                <c:pt idx="3">
                  <c:v>Churned</c:v>
                </c:pt>
                <c:pt idx="4">
                  <c:v>Loyal Customers</c:v>
                </c:pt>
                <c:pt idx="5">
                  <c:v>Medium Value</c:v>
                </c:pt>
              </c:strCache>
            </c:strRef>
          </c:cat>
          <c:val>
            <c:numRef>
              <c:f>Reportng!$E$142:$E$148</c:f>
              <c:numCache>
                <c:formatCode>General</c:formatCode>
                <c:ptCount val="7"/>
                <c:pt idx="0">
                  <c:v>1251</c:v>
                </c:pt>
                <c:pt idx="1">
                  <c:v>5</c:v>
                </c:pt>
                <c:pt idx="2">
                  <c:v>1220</c:v>
                </c:pt>
                <c:pt idx="3">
                  <c:v>1354</c:v>
                </c:pt>
                <c:pt idx="4">
                  <c:v>1516</c:v>
                </c:pt>
                <c:pt idx="5">
                  <c:v>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C-44E7-9D11-1E3B7B9076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49498815"/>
        <c:axId val="20487259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Reportng!$D$141</c15:sqref>
                        </c15:formulaRef>
                      </c:ext>
                    </c:extLst>
                    <c:strCache>
                      <c:ptCount val="1"/>
                      <c:pt idx="0">
                        <c:v>customer_segment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Reportng!$D$142:$D$147</c15:sqref>
                        </c15:formulaRef>
                      </c:ext>
                    </c:extLst>
                    <c:strCache>
                      <c:ptCount val="6"/>
                      <c:pt idx="0">
                        <c:v>At Risk</c:v>
                      </c:pt>
                      <c:pt idx="1">
                        <c:v>Big Spenders Lost</c:v>
                      </c:pt>
                      <c:pt idx="2">
                        <c:v>Champions</c:v>
                      </c:pt>
                      <c:pt idx="3">
                        <c:v>Churned</c:v>
                      </c:pt>
                      <c:pt idx="4">
                        <c:v>Loyal Customers</c:v>
                      </c:pt>
                      <c:pt idx="5">
                        <c:v>Medium Value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Reportng!$D$142:$D$148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C2C-44E7-9D11-1E3B7B90764F}"/>
                  </c:ext>
                </c:extLst>
              </c15:ser>
            </c15:filteredBarSeries>
          </c:ext>
        </c:extLst>
      </c:barChart>
      <c:catAx>
        <c:axId val="204949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725951"/>
        <c:crosses val="autoZero"/>
        <c:auto val="1"/>
        <c:lblAlgn val="ctr"/>
        <c:lblOffset val="100"/>
        <c:noMultiLvlLbl val="0"/>
      </c:catAx>
      <c:valAx>
        <c:axId val="20487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49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Reportng!$E$175</c:f>
              <c:strCache>
                <c:ptCount val="1"/>
                <c:pt idx="0">
                  <c:v>Percentage of Cust</c:v>
                </c:pt>
              </c:strCache>
            </c:strRef>
          </c:tx>
          <c:explosion val="3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12E-4342-9CA7-7E55EF3AFD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2E-4342-9CA7-7E55EF3AFD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12E-4342-9CA7-7E55EF3AFD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2E-4342-9CA7-7E55EF3AFD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12E-4342-9CA7-7E55EF3AFD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2E-4342-9CA7-7E55EF3AFD5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E12E-4342-9CA7-7E55EF3AFD5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12E-4342-9CA7-7E55EF3AFD5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E12E-4342-9CA7-7E55EF3AFD5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12E-4342-9CA7-7E55EF3AFD5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E12E-4342-9CA7-7E55EF3AFD5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12E-4342-9CA7-7E55EF3AFD5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Reportng!$D$176:$D$181</c:f>
              <c:strCache>
                <c:ptCount val="6"/>
                <c:pt idx="0">
                  <c:v>At Risk</c:v>
                </c:pt>
                <c:pt idx="1">
                  <c:v>Big Spenders Lost</c:v>
                </c:pt>
                <c:pt idx="2">
                  <c:v>Champions</c:v>
                </c:pt>
                <c:pt idx="3">
                  <c:v>Churned</c:v>
                </c:pt>
                <c:pt idx="4">
                  <c:v>Loyal Customers</c:v>
                </c:pt>
                <c:pt idx="5">
                  <c:v>Medium Value</c:v>
                </c:pt>
              </c:strCache>
            </c:strRef>
          </c:cat>
          <c:val>
            <c:numRef>
              <c:f>Reportng!$E$176:$E$181</c:f>
              <c:numCache>
                <c:formatCode>0.00</c:formatCode>
                <c:ptCount val="6"/>
                <c:pt idx="0">
                  <c:v>18.159384526056002</c:v>
                </c:pt>
                <c:pt idx="1">
                  <c:v>7.2579474524604407E-2</c:v>
                </c:pt>
                <c:pt idx="2">
                  <c:v>17.709391784003401</c:v>
                </c:pt>
                <c:pt idx="3">
                  <c:v>19.654521701262802</c:v>
                </c:pt>
                <c:pt idx="4">
                  <c:v>22.00609667586</c:v>
                </c:pt>
                <c:pt idx="5">
                  <c:v>22.398025838292899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E-4342-9CA7-7E55EF3AFD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5 Customer Spent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Reportng!$D$13</c:f>
              <c:strCache>
                <c:ptCount val="1"/>
                <c:pt idx="0">
                  <c:v>Total_spent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Reportng!$C$14:$C$18</c:f>
              <c:strCache>
                <c:ptCount val="5"/>
                <c:pt idx="0">
                  <c:v>CS4424</c:v>
                </c:pt>
                <c:pt idx="1">
                  <c:v>CS4320</c:v>
                </c:pt>
                <c:pt idx="2">
                  <c:v>CS5752</c:v>
                </c:pt>
                <c:pt idx="3">
                  <c:v>CS4660</c:v>
                </c:pt>
                <c:pt idx="4">
                  <c:v>CS3799</c:v>
                </c:pt>
              </c:strCache>
            </c:strRef>
          </c:cat>
          <c:val>
            <c:numRef>
              <c:f>Reportng!$D$14:$D$18</c:f>
              <c:numCache>
                <c:formatCode>General</c:formatCode>
                <c:ptCount val="5"/>
                <c:pt idx="0">
                  <c:v>2933</c:v>
                </c:pt>
                <c:pt idx="1">
                  <c:v>2647</c:v>
                </c:pt>
                <c:pt idx="2">
                  <c:v>2612</c:v>
                </c:pt>
                <c:pt idx="3">
                  <c:v>2527</c:v>
                </c:pt>
                <c:pt idx="4">
                  <c:v>2513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B-4777-8776-9BA4EE3B25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473167"/>
        <c:axId val="179465007"/>
      </c:barChart>
      <c:catAx>
        <c:axId val="17947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5007"/>
        <c:crosses val="autoZero"/>
        <c:auto val="1"/>
        <c:lblAlgn val="ctr"/>
        <c:lblOffset val="100"/>
        <c:noMultiLvlLbl val="0"/>
      </c:catAx>
      <c:valAx>
        <c:axId val="17946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7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600734</xdr:colOff>
      <xdr:row>0</xdr:row>
      <xdr:rowOff>26893</xdr:rowOff>
    </xdr:from>
    <xdr:to>
      <xdr:col>17</xdr:col>
      <xdr:colOff>240054</xdr:colOff>
      <xdr:row>19</xdr:row>
      <xdr:rowOff>94627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FF86BF-4992-418F-8813-348D31982D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254000</xdr:colOff>
      <xdr:row>0</xdr:row>
      <xdr:rowOff>0</xdr:rowOff>
    </xdr:from>
    <xdr:to>
      <xdr:col>26</xdr:col>
      <xdr:colOff>338666</xdr:colOff>
      <xdr:row>19</xdr:row>
      <xdr:rowOff>65089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6DC28C-719E-4A8E-89F8-A01366274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220133</xdr:colOff>
      <xdr:row>0</xdr:row>
      <xdr:rowOff>0</xdr:rowOff>
    </xdr:from>
    <xdr:to>
      <xdr:col>8</xdr:col>
      <xdr:colOff>500485</xdr:colOff>
      <xdr:row>19</xdr:row>
      <xdr:rowOff>14906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79BC32-3742-4348-819D-7AB8FFC3F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142438</xdr:colOff>
      <xdr:row>20</xdr:row>
      <xdr:rowOff>8965</xdr:rowOff>
    </xdr:from>
    <xdr:to>
      <xdr:col>17</xdr:col>
      <xdr:colOff>179293</xdr:colOff>
      <xdr:row>41</xdr:row>
      <xdr:rowOff>80682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005144-06CE-4E7C-8C09-F7F867BC3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216001</xdr:colOff>
      <xdr:row>19</xdr:row>
      <xdr:rowOff>142389</xdr:rowOff>
    </xdr:from>
    <xdr:to>
      <xdr:col>26</xdr:col>
      <xdr:colOff>550967</xdr:colOff>
      <xdr:row>41</xdr:row>
      <xdr:rowOff>95866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BA3633-2D18-42ED-8FF6-C9727200D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42</xdr:row>
      <xdr:rowOff>47115</xdr:rowOff>
    </xdr:from>
    <xdr:to>
      <xdr:col>9</xdr:col>
      <xdr:colOff>35858</xdr:colOff>
      <xdr:row>63</xdr:row>
      <xdr:rowOff>143437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965A0B-6651-43ED-A76D-8902F4B08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482005</xdr:colOff>
      <xdr:row>42</xdr:row>
      <xdr:rowOff>49805</xdr:rowOff>
    </xdr:from>
    <xdr:to>
      <xdr:col>18</xdr:col>
      <xdr:colOff>448237</xdr:colOff>
      <xdr:row>63</xdr:row>
      <xdr:rowOff>134472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5FF0EEA-1A93-4EE5-970D-6BD0D1DC7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19</xdr:row>
      <xdr:rowOff>44822</xdr:rowOff>
    </xdr:from>
    <xdr:to>
      <xdr:col>8</xdr:col>
      <xdr:colOff>134471</xdr:colOff>
      <xdr:row>41</xdr:row>
      <xdr:rowOff>44822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CA128E0-0721-4FC9-9688-008DD94EC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27</xdr:row>
      <xdr:rowOff>167639</xdr:rowOff>
    </xdr:from>
    <xdr:to>
      <xdr:col>13</xdr:col>
      <xdr:colOff>601980</xdr:colOff>
      <xdr:row>47</xdr:row>
      <xdr:rowOff>14377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E45BC-37C4-3730-8FBB-328687EDC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175260</xdr:colOff>
      <xdr:row>35</xdr:row>
      <xdr:rowOff>144780</xdr:rowOff>
    </xdr:from>
    <xdr:to>
      <xdr:col>4</xdr:col>
      <xdr:colOff>1084385</xdr:colOff>
      <xdr:row>39</xdr:row>
      <xdr:rowOff>7620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727AC7B-C8E8-08B5-DBF2-84DD236CCB44}"/>
            </a:ext>
          </a:extLst>
        </xdr:cNvPr>
        <xdr:cNvSpPr/>
      </xdr:nvSpPr>
      <xdr:spPr>
        <a:xfrm>
          <a:off x="2490568" y="2606626"/>
          <a:ext cx="3839894" cy="65414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Highly</a:t>
          </a:r>
          <a:r>
            <a:rPr lang="en-US" sz="1400" b="1" baseline="0"/>
            <a:t> Inactivity in the response rate ,</a:t>
          </a:r>
        </a:p>
        <a:p>
          <a:pPr algn="l"/>
          <a:r>
            <a:rPr lang="en-US" sz="1400" b="1" baseline="0"/>
            <a:t>89% customers are Non-responsive.</a:t>
          </a:r>
          <a:endParaRPr lang="en-US" sz="1400" b="1"/>
        </a:p>
      </xdr:txBody>
    </xdr:sp>
    <xdr:clientData/>
  </xdr:twoCellAnchor>
  <xdr:twoCellAnchor>
    <xdr:from>
      <xdr:col>2</xdr:col>
      <xdr:colOff>182880</xdr:colOff>
      <xdr:row>41</xdr:row>
      <xdr:rowOff>182880</xdr:rowOff>
    </xdr:from>
    <xdr:to>
      <xdr:col>4</xdr:col>
      <xdr:colOff>805961</xdr:colOff>
      <xdr:row>45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655CA61-AE65-4EAA-925C-0EAC953921CD}"/>
            </a:ext>
          </a:extLst>
        </xdr:cNvPr>
        <xdr:cNvSpPr/>
      </xdr:nvSpPr>
      <xdr:spPr>
        <a:xfrm>
          <a:off x="2498188" y="3787726"/>
          <a:ext cx="3553850" cy="60842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Optimize</a:t>
          </a:r>
          <a:r>
            <a:rPr lang="en-US" sz="1400" b="1" baseline="0"/>
            <a:t> a Re-enegagement campaign</a:t>
          </a:r>
        </a:p>
        <a:p>
          <a:pPr algn="l"/>
          <a:r>
            <a:rPr lang="en-US" sz="1400" b="1" baseline="0"/>
            <a:t>for imrove the response rate.</a:t>
          </a:r>
          <a:endParaRPr lang="en-US" sz="1400" b="1"/>
        </a:p>
      </xdr:txBody>
    </xdr:sp>
    <xdr:clientData/>
  </xdr:twoCellAnchor>
  <xdr:twoCellAnchor>
    <xdr:from>
      <xdr:col>6</xdr:col>
      <xdr:colOff>335280</xdr:colOff>
      <xdr:row>47</xdr:row>
      <xdr:rowOff>158151</xdr:rowOff>
    </xdr:from>
    <xdr:to>
      <xdr:col>13</xdr:col>
      <xdr:colOff>594360</xdr:colOff>
      <xdr:row>66</xdr:row>
      <xdr:rowOff>95753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B130F9-814F-DCA7-3516-50F260BF8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327660</xdr:colOff>
      <xdr:row>67</xdr:row>
      <xdr:rowOff>35152</xdr:rowOff>
    </xdr:from>
    <xdr:to>
      <xdr:col>13</xdr:col>
      <xdr:colOff>601980</xdr:colOff>
      <xdr:row>85</xdr:row>
      <xdr:rowOff>122782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A0E6B5-E5FA-BF69-207A-B55458E44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127000</xdr:colOff>
      <xdr:row>61</xdr:row>
      <xdr:rowOff>63500</xdr:rowOff>
    </xdr:from>
    <xdr:to>
      <xdr:col>5</xdr:col>
      <xdr:colOff>613833</xdr:colOff>
      <xdr:row>64</xdr:row>
      <xdr:rowOff>65689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D96283F-38BC-1702-C136-BD6C6B5B60E4}"/>
            </a:ext>
          </a:extLst>
        </xdr:cNvPr>
        <xdr:cNvSpPr/>
      </xdr:nvSpPr>
      <xdr:spPr>
        <a:xfrm>
          <a:off x="737914" y="6409121"/>
          <a:ext cx="4388798" cy="55398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Revenue</a:t>
          </a:r>
          <a:r>
            <a:rPr lang="en-US" sz="1100" b="1" baseline="0"/>
            <a:t> of 2015 appears low due to incomplete year data . Data is till 16-03-2015</a:t>
          </a:r>
          <a:endParaRPr lang="en-US" sz="1100" b="1"/>
        </a:p>
      </xdr:txBody>
    </xdr:sp>
    <xdr:clientData/>
  </xdr:twoCellAnchor>
  <xdr:twoCellAnchor>
    <xdr:from>
      <xdr:col>1</xdr:col>
      <xdr:colOff>742293</xdr:colOff>
      <xdr:row>69</xdr:row>
      <xdr:rowOff>164224</xdr:rowOff>
    </xdr:from>
    <xdr:to>
      <xdr:col>4</xdr:col>
      <xdr:colOff>293077</xdr:colOff>
      <xdr:row>72</xdr:row>
      <xdr:rowOff>166413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7B0DF22-DCA7-4A44-988D-888A7C08A23A}"/>
            </a:ext>
          </a:extLst>
        </xdr:cNvPr>
        <xdr:cNvSpPr/>
      </xdr:nvSpPr>
      <xdr:spPr>
        <a:xfrm>
          <a:off x="1518947" y="8839301"/>
          <a:ext cx="4020207" cy="5883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* Highest</a:t>
          </a:r>
          <a:r>
            <a:rPr lang="en-US" sz="1100" b="1" baseline="0"/>
            <a:t> Surge in the year </a:t>
          </a:r>
          <a:r>
            <a:rPr lang="en-US" sz="1100" b="1" i="1" u="sng" baseline="0"/>
            <a:t>2012 </a:t>
          </a:r>
          <a:r>
            <a:rPr lang="en-US" sz="1100" b="1" i="1" u="none" baseline="0"/>
            <a:t> </a:t>
          </a:r>
          <a:r>
            <a:rPr lang="en-US" sz="1100" b="1" i="0" u="none" baseline="0"/>
            <a:t> which is 57.9%.</a:t>
          </a:r>
        </a:p>
        <a:p>
          <a:pPr algn="l"/>
          <a:r>
            <a:rPr lang="en-US" sz="1100" b="1" i="0" u="none" baseline="0"/>
            <a:t>* After 2013 the growth rate becomes negative.</a:t>
          </a:r>
        </a:p>
        <a:p>
          <a:pPr algn="l"/>
          <a:endParaRPr lang="en-US" sz="1100" b="1" i="1" u="sng"/>
        </a:p>
      </xdr:txBody>
    </xdr:sp>
    <xdr:clientData/>
  </xdr:twoCellAnchor>
  <xdr:twoCellAnchor>
    <xdr:from>
      <xdr:col>1</xdr:col>
      <xdr:colOff>1068384</xdr:colOff>
      <xdr:row>75</xdr:row>
      <xdr:rowOff>88427</xdr:rowOff>
    </xdr:from>
    <xdr:to>
      <xdr:col>5</xdr:col>
      <xdr:colOff>796585</xdr:colOff>
      <xdr:row>78</xdr:row>
      <xdr:rowOff>90616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38BAB30-DE0D-4F1D-92B4-A591A65F09F8}"/>
            </a:ext>
          </a:extLst>
        </xdr:cNvPr>
        <xdr:cNvSpPr/>
      </xdr:nvSpPr>
      <xdr:spPr>
        <a:xfrm>
          <a:off x="1674076" y="9154273"/>
          <a:ext cx="5394355" cy="5981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 u="none"/>
            <a:t>After</a:t>
          </a:r>
          <a:r>
            <a:rPr lang="en-US" sz="1100" b="1" i="0" u="none" baseline="0"/>
            <a:t> 2013 the growth rate become negative so we need to review our strategy. Or make the new strategies for improving the growth rate.</a:t>
          </a:r>
          <a:endParaRPr lang="en-US" sz="1100" b="1" i="1" u="sng"/>
        </a:p>
      </xdr:txBody>
    </xdr:sp>
    <xdr:clientData/>
  </xdr:twoCellAnchor>
  <xdr:twoCellAnchor>
    <xdr:from>
      <xdr:col>6</xdr:col>
      <xdr:colOff>143136</xdr:colOff>
      <xdr:row>88</xdr:row>
      <xdr:rowOff>164321</xdr:rowOff>
    </xdr:from>
    <xdr:to>
      <xdr:col>14</xdr:col>
      <xdr:colOff>301887</xdr:colOff>
      <xdr:row>109</xdr:row>
      <xdr:rowOff>64839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E111099-46B4-A97E-51B8-73FAD125B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29294</xdr:colOff>
      <xdr:row>111</xdr:row>
      <xdr:rowOff>2596</xdr:rowOff>
    </xdr:from>
    <xdr:to>
      <xdr:col>15</xdr:col>
      <xdr:colOff>230910</xdr:colOff>
      <xdr:row>132</xdr:row>
      <xdr:rowOff>184726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52C662A-B6F4-4592-B7AE-851785BF0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114</xdr:row>
      <xdr:rowOff>183116</xdr:rowOff>
    </xdr:from>
    <xdr:to>
      <xdr:col>5</xdr:col>
      <xdr:colOff>88605</xdr:colOff>
      <xdr:row>119</xdr:row>
      <xdr:rowOff>177209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E41ADC4-DD72-48F8-9DC3-5E0990C61132}"/>
            </a:ext>
          </a:extLst>
        </xdr:cNvPr>
        <xdr:cNvSpPr/>
      </xdr:nvSpPr>
      <xdr:spPr>
        <a:xfrm>
          <a:off x="608419" y="16350511"/>
          <a:ext cx="5753395" cy="956931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b="1"/>
            <a:t>Highest Surge:</a:t>
          </a:r>
          <a:r>
            <a:rPr lang="en-US"/>
            <a:t> In the Month 5 (May) has</a:t>
          </a:r>
          <a:r>
            <a:rPr lang="en-US" baseline="0"/>
            <a:t> 22.8% growth which is the highest growth</a:t>
          </a:r>
        </a:p>
        <a:p>
          <a:r>
            <a:rPr lang="en-US" b="1"/>
            <a:t>Recovery:</a:t>
          </a:r>
          <a:r>
            <a:rPr lang="en-US"/>
            <a:t> After</a:t>
          </a:r>
          <a:r>
            <a:rPr lang="en-US" baseline="0"/>
            <a:t> the dip in Month 4 (April) business shows the very good recovery in month 5 and 6</a:t>
          </a:r>
        </a:p>
        <a:p>
          <a:r>
            <a:rPr lang="en-US" baseline="0"/>
            <a:t> </a:t>
          </a:r>
          <a:endParaRPr lang="en-US" sz="1100" b="1" i="1" u="sng"/>
        </a:p>
      </xdr:txBody>
    </xdr:sp>
    <xdr:clientData/>
  </xdr:twoCellAnchor>
  <xdr:oneCellAnchor>
    <xdr:from>
      <xdr:col>3</xdr:col>
      <xdr:colOff>681181</xdr:colOff>
      <xdr:row>117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6C80D7C-D7F4-291A-11D0-C728D50B45EB}"/>
            </a:ext>
          </a:extLst>
        </xdr:cNvPr>
        <xdr:cNvSpPr txBox="1"/>
      </xdr:nvSpPr>
      <xdr:spPr>
        <a:xfrm>
          <a:off x="4202545" y="169025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542636</xdr:colOff>
      <xdr:row>122</xdr:row>
      <xdr:rowOff>23091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090ED82-2109-AB64-9FEF-283124CB708D}"/>
            </a:ext>
          </a:extLst>
        </xdr:cNvPr>
        <xdr:cNvSpPr txBox="1"/>
      </xdr:nvSpPr>
      <xdr:spPr>
        <a:xfrm>
          <a:off x="5622636" y="1784927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9769</xdr:colOff>
      <xdr:row>135</xdr:row>
      <xdr:rowOff>142629</xdr:rowOff>
    </xdr:from>
    <xdr:to>
      <xdr:col>15</xdr:col>
      <xdr:colOff>547076</xdr:colOff>
      <xdr:row>166</xdr:row>
      <xdr:rowOff>48845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D81A56D-D732-A071-8358-C0E65B8D8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302845</xdr:colOff>
      <xdr:row>140</xdr:row>
      <xdr:rowOff>78153</xdr:rowOff>
    </xdr:from>
    <xdr:to>
      <xdr:col>2</xdr:col>
      <xdr:colOff>468922</xdr:colOff>
      <xdr:row>145</xdr:row>
      <xdr:rowOff>146537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2B4BE8F-189B-3028-B3F3-BDBA17AE077C}"/>
            </a:ext>
          </a:extLst>
        </xdr:cNvPr>
        <xdr:cNvSpPr/>
      </xdr:nvSpPr>
      <xdr:spPr>
        <a:xfrm>
          <a:off x="302845" y="21287153"/>
          <a:ext cx="2305539" cy="99646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Count of Customer Segment in</a:t>
          </a: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RFM Analysis</a:t>
          </a:r>
          <a:endParaRPr lang="en-US" sz="1200" b="1">
            <a:effectLst/>
          </a:endParaRPr>
        </a:p>
        <a:p>
          <a:pPr algn="l"/>
          <a:endParaRPr lang="en-US" sz="1200" b="1"/>
        </a:p>
      </xdr:txBody>
    </xdr:sp>
    <xdr:clientData/>
  </xdr:twoCellAnchor>
  <xdr:twoCellAnchor>
    <xdr:from>
      <xdr:col>2</xdr:col>
      <xdr:colOff>508000</xdr:colOff>
      <xdr:row>143</xdr:row>
      <xdr:rowOff>9769</xdr:rowOff>
    </xdr:from>
    <xdr:to>
      <xdr:col>2</xdr:col>
      <xdr:colOff>1348153</xdr:colOff>
      <xdr:row>144</xdr:row>
      <xdr:rowOff>39076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D748656E-BE8B-EF5C-6A57-0D7E2DEEEFBC}"/>
            </a:ext>
          </a:extLst>
        </xdr:cNvPr>
        <xdr:cNvSpPr/>
      </xdr:nvSpPr>
      <xdr:spPr>
        <a:xfrm>
          <a:off x="2647462" y="21775615"/>
          <a:ext cx="840153" cy="21492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117231</xdr:colOff>
      <xdr:row>147</xdr:row>
      <xdr:rowOff>185614</xdr:rowOff>
    </xdr:from>
    <xdr:to>
      <xdr:col>5</xdr:col>
      <xdr:colOff>478693</xdr:colOff>
      <xdr:row>162</xdr:row>
      <xdr:rowOff>166076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881CFE59-4D7F-4066-AA36-861456F55A14}"/>
            </a:ext>
          </a:extLst>
        </xdr:cNvPr>
        <xdr:cNvSpPr/>
      </xdr:nvSpPr>
      <xdr:spPr>
        <a:xfrm>
          <a:off x="898769" y="23885768"/>
          <a:ext cx="6027616" cy="2803770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300" b="1" baseline="0"/>
            <a:t>Champion &amp; Loyal Customers </a:t>
          </a:r>
          <a:r>
            <a:rPr lang="en-US" baseline="0"/>
            <a:t> - These are the most loyal customer who has high frequency order and trusted to our brand. </a:t>
          </a:r>
        </a:p>
        <a:p>
          <a:r>
            <a:rPr lang="en-US" baseline="0"/>
            <a:t>   *  1220 + 1516 = </a:t>
          </a:r>
          <a:r>
            <a:rPr lang="en-US" b="1" baseline="0"/>
            <a:t>2736</a:t>
          </a:r>
          <a:r>
            <a:rPr lang="en-US" baseline="0"/>
            <a:t> Customers out of 6889 customers which are in this categories.</a:t>
          </a:r>
        </a:p>
        <a:p>
          <a:r>
            <a:rPr lang="en-US" baseline="0"/>
            <a:t>  </a:t>
          </a:r>
        </a:p>
        <a:p>
          <a:r>
            <a:rPr lang="en-US" baseline="0"/>
            <a:t> </a:t>
          </a: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At Risk and Churned Customer - </a:t>
          </a:r>
          <a:r>
            <a:rPr lang="en-US" sz="12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Customers whose orders are decresing and they don't put order since a long time.</a:t>
          </a:r>
        </a:p>
        <a:p>
          <a:r>
            <a:rPr lang="en-US" sz="12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* 1251 + 1354 = </a:t>
          </a:r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2605 </a:t>
          </a:r>
          <a:r>
            <a:rPr lang="en-US" sz="12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customers out of 6889 are in this category.</a:t>
          </a:r>
        </a:p>
        <a:p>
          <a:endParaRPr lang="en-US" sz="1200" b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Medium Level - </a:t>
          </a:r>
          <a:r>
            <a:rPr lang="en-US" sz="12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/>
            <a:t>These customers have a moderate purchase frequency and spending level.</a:t>
          </a:r>
          <a:r>
            <a:rPr lang="en-US" sz="1200" baseline="0"/>
            <a:t>  </a:t>
          </a:r>
        </a:p>
        <a:p>
          <a:r>
            <a:rPr lang="en-US" sz="12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*    1543 Customers out of 6889 customers are medium level.</a:t>
          </a:r>
        </a:p>
        <a:p>
          <a:r>
            <a:rPr lang="en-US" sz="12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US" sz="12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n-US" sz="1100" b="1" i="1" u="sng"/>
        </a:p>
      </xdr:txBody>
    </xdr:sp>
    <xdr:clientData/>
  </xdr:twoCellAnchor>
  <xdr:twoCellAnchor>
    <xdr:from>
      <xdr:col>3</xdr:col>
      <xdr:colOff>214923</xdr:colOff>
      <xdr:row>3</xdr:row>
      <xdr:rowOff>166077</xdr:rowOff>
    </xdr:from>
    <xdr:to>
      <xdr:col>3</xdr:col>
      <xdr:colOff>1377462</xdr:colOff>
      <xdr:row>4</xdr:row>
      <xdr:rowOff>136769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50D2A090-0480-DE10-41F8-AD0883CC21D2}"/>
            </a:ext>
          </a:extLst>
        </xdr:cNvPr>
        <xdr:cNvSpPr/>
      </xdr:nvSpPr>
      <xdr:spPr>
        <a:xfrm>
          <a:off x="3897923" y="537308"/>
          <a:ext cx="1162539" cy="15630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254000</xdr:colOff>
      <xdr:row>150</xdr:row>
      <xdr:rowOff>87923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D2B3F73-2784-E479-4403-42F908314FA3}"/>
            </a:ext>
          </a:extLst>
        </xdr:cNvPr>
        <xdr:cNvSpPr txBox="1"/>
      </xdr:nvSpPr>
      <xdr:spPr>
        <a:xfrm>
          <a:off x="3937000" y="2438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185615</xdr:colOff>
      <xdr:row>150</xdr:row>
      <xdr:rowOff>39077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BE0E47D-C1AB-DD91-E84E-3807BB518927}"/>
            </a:ext>
          </a:extLst>
        </xdr:cNvPr>
        <xdr:cNvSpPr txBox="1"/>
      </xdr:nvSpPr>
      <xdr:spPr>
        <a:xfrm>
          <a:off x="3868615" y="243351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849924</xdr:colOff>
      <xdr:row>163</xdr:row>
      <xdr:rowOff>117230</xdr:rowOff>
    </xdr:from>
    <xdr:to>
      <xdr:col>5</xdr:col>
      <xdr:colOff>527539</xdr:colOff>
      <xdr:row>169</xdr:row>
      <xdr:rowOff>87923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8086DD36-431B-48E2-8D30-422944D878C5}"/>
            </a:ext>
          </a:extLst>
        </xdr:cNvPr>
        <xdr:cNvSpPr/>
      </xdr:nvSpPr>
      <xdr:spPr>
        <a:xfrm>
          <a:off x="1631462" y="26826307"/>
          <a:ext cx="5343769" cy="112346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1" u="none"/>
            <a:t>*</a:t>
          </a:r>
          <a:r>
            <a:rPr lang="en-US" sz="1200" b="1" i="1" u="none" baseline="0"/>
            <a:t> </a:t>
          </a:r>
          <a:r>
            <a:rPr lang="en-US" sz="1200" b="1" i="1" u="none"/>
            <a:t>We have to provide some</a:t>
          </a:r>
          <a:r>
            <a:rPr lang="en-US" sz="1200" b="1" i="1" u="none" baseline="0"/>
            <a:t> combo offers and some discount coupons to get back our churned and Risk customer</a:t>
          </a:r>
        </a:p>
        <a:p>
          <a:pPr algn="l"/>
          <a:r>
            <a:rPr lang="en-US" sz="1200" b="1" i="1" u="none" baseline="0"/>
            <a:t>*  We have to make sure the product are deilivered to that customered is well packed and in well mannered  for earn the trust.</a:t>
          </a:r>
        </a:p>
        <a:p>
          <a:pPr algn="l"/>
          <a:r>
            <a:rPr lang="en-US" sz="1100" b="1" i="1" u="none" baseline="0"/>
            <a:t> </a:t>
          </a:r>
          <a:endParaRPr lang="en-US" sz="1100" b="1" i="1" u="none"/>
        </a:p>
      </xdr:txBody>
    </xdr:sp>
    <xdr:clientData/>
  </xdr:twoCellAnchor>
  <xdr:twoCellAnchor>
    <xdr:from>
      <xdr:col>0</xdr:col>
      <xdr:colOff>478693</xdr:colOff>
      <xdr:row>175</xdr:row>
      <xdr:rowOff>9770</xdr:rowOff>
    </xdr:from>
    <xdr:to>
      <xdr:col>2</xdr:col>
      <xdr:colOff>605693</xdr:colOff>
      <xdr:row>179</xdr:row>
      <xdr:rowOff>117231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5E6FF4D-0B4F-4B4E-B378-8D2EB3E71850}"/>
            </a:ext>
          </a:extLst>
        </xdr:cNvPr>
        <xdr:cNvSpPr/>
      </xdr:nvSpPr>
      <xdr:spPr>
        <a:xfrm>
          <a:off x="478693" y="28985308"/>
          <a:ext cx="2442308" cy="849923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Percentage</a:t>
          </a:r>
          <a:r>
            <a:rPr lang="en-US" sz="1200" b="1" baseline="0"/>
            <a:t> Distribution of RFM Segments </a:t>
          </a:r>
          <a:endParaRPr lang="en-US" sz="1200" b="1"/>
        </a:p>
      </xdr:txBody>
    </xdr:sp>
    <xdr:clientData/>
  </xdr:twoCellAnchor>
  <xdr:twoCellAnchor>
    <xdr:from>
      <xdr:col>2</xdr:col>
      <xdr:colOff>654538</xdr:colOff>
      <xdr:row>176</xdr:row>
      <xdr:rowOff>146538</xdr:rowOff>
    </xdr:from>
    <xdr:to>
      <xdr:col>2</xdr:col>
      <xdr:colOff>1309077</xdr:colOff>
      <xdr:row>178</xdr:row>
      <xdr:rowOff>0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0EFA61F3-14EA-BE50-515B-9652F258B4CB}"/>
            </a:ext>
          </a:extLst>
        </xdr:cNvPr>
        <xdr:cNvSpPr/>
      </xdr:nvSpPr>
      <xdr:spPr>
        <a:xfrm>
          <a:off x="2969846" y="29307692"/>
          <a:ext cx="654539" cy="22469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400539</xdr:colOff>
      <xdr:row>171</xdr:row>
      <xdr:rowOff>15630</xdr:rowOff>
    </xdr:from>
    <xdr:to>
      <xdr:col>14</xdr:col>
      <xdr:colOff>527539</xdr:colOff>
      <xdr:row>191</xdr:row>
      <xdr:rowOff>39075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C3452342-F543-3CB7-622E-4D4E3C266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278423</xdr:colOff>
      <xdr:row>5</xdr:row>
      <xdr:rowOff>161192</xdr:rowOff>
    </xdr:from>
    <xdr:to>
      <xdr:col>13</xdr:col>
      <xdr:colOff>564173</xdr:colOff>
      <xdr:row>26</xdr:row>
      <xdr:rowOff>161192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C888E9D-E6D5-8626-8061-6481822D3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3AE475-09B5-40FC-9B6A-6CB40305F062}" name="Table2" displayName="Table2" ref="B32:C34" totalsRowShown="0">
  <autoFilter ref="B32:C34" xr:uid="{B63AE475-09B5-40FC-9B6A-6CB40305F062}"/>
  <tableColumns count="2">
    <tableColumn id="1" xr3:uid="{4174BA4A-C7EB-4B66-8285-93603BFE87E3}" name="response"/>
    <tableColumn id="2" xr3:uid="{07196490-A39F-49C1-A919-03D32E00F688}" name="Total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D62B83-4B65-4A90-8693-1F2F86C89014}" name="Table3" displayName="Table3" ref="B56:F61" totalsRowShown="0">
  <autoFilter ref="B56:F61" xr:uid="{33D62B83-4B65-4A90-8693-1F2F86C89014}"/>
  <tableColumns count="5">
    <tableColumn id="1" xr3:uid="{08348A33-EDBB-41D2-B2D4-DCC1DA7E4214}" name="year_date"/>
    <tableColumn id="2" xr3:uid="{A716F64E-6DB4-4E9F-9E06-14190C5B8B8D}" name="revenue"/>
    <tableColumn id="3" xr3:uid="{14AEB92D-C481-4857-A72F-96E2B3C808A2}" name="previous_year_revenue"/>
    <tableColumn id="4" xr3:uid="{4955A6BC-C842-4DD8-99CA-7AABCCD90426}" name="Yoy_diff"/>
    <tableColumn id="5" xr3:uid="{62C99745-D82A-4BCF-A253-40907B5670D4}" name="percent_YO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817C71-DF14-4E55-8F0F-58FAA78851FD}" name="Table4" displayName="Table4" ref="B95:F107" totalsRowShown="0">
  <autoFilter ref="B95:F107" xr:uid="{CE817C71-DF14-4E55-8F0F-58FAA78851FD}"/>
  <tableColumns count="5">
    <tableColumn id="1" xr3:uid="{88E4CC04-06BC-4173-BDB2-6C967DB99366}" name="Months"/>
    <tableColumn id="2" xr3:uid="{B20CA629-C056-4AED-BB4D-FC2E29FBC935}" name="current_month_amount"/>
    <tableColumn id="3" xr3:uid="{C4130F2F-58FD-4B37-9294-6083E30D013C}" name="prev_month_amount"/>
    <tableColumn id="4" xr3:uid="{A822FE5A-C6AA-49CE-B1A0-B27F69E5AB85}" name="MOM_difference"/>
    <tableColumn id="5" xr3:uid="{795D821C-62B4-4CD3-A227-C687D45EC7EA}" name="MOM_percent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E6B0E7-DA49-4DC9-8063-5F6FE6A265E4}" name="Table5" displayName="Table5" ref="D141:E147" totalsRowShown="0">
  <autoFilter ref="D141:E147" xr:uid="{9AE6B0E7-DA49-4DC9-8063-5F6FE6A265E4}"/>
  <tableColumns count="2">
    <tableColumn id="1" xr3:uid="{8F7B5EA6-84B1-4CB7-A9C8-2DA19F3B1867}" name="customer_segment"/>
    <tableColumn id="2" xr3:uid="{E7A44A21-097C-4F49-894A-22917722A812}" name="Total 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751A35-CDC4-48F4-A2B0-40F572D22C46}" name="Table6" displayName="Table6" ref="D175:E181" totalsRowShown="0">
  <autoFilter ref="D175:E181" xr:uid="{9F751A35-CDC4-48F4-A2B0-40F572D22C46}"/>
  <tableColumns count="2">
    <tableColumn id="1" xr3:uid="{F1133413-F2F6-4E06-9142-491907D41C4E}" name="customer_segment"/>
    <tableColumn id="2" xr3:uid="{1F73A61B-3C3E-477F-8966-585EE93C0891}" name="Percentage of Cust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6B8AB0-4D1A-4A2E-8C3D-EDDAADDE5504}" name="Table7" displayName="Table7" ref="C13:D18" totalsRowShown="0">
  <autoFilter ref="C13:D18" xr:uid="{B06B8AB0-4D1A-4A2E-8C3D-EDDAADDE5504}"/>
  <tableColumns count="2">
    <tableColumn id="1" xr3:uid="{8FD63649-2A73-4153-BD88-003978B2ABD4}" name="customer_id"/>
    <tableColumn id="2" xr3:uid="{5B513816-5F9B-4358-A53C-5CA23B483B0D}" name="Total_sp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9ED0-FE07-4C70-804A-CC5B5CDA9560}">
  <dimension ref="A1"/>
  <sheetViews>
    <sheetView topLeftCell="A38" zoomScale="52" workbookViewId="0">
      <selection activeCell="W51" sqref="W5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9026-401C-4BA4-90CF-C3ECB7CF1870}">
  <dimension ref="A4:M181"/>
  <sheetViews>
    <sheetView tabSelected="1" topLeftCell="A43" zoomScale="52" workbookViewId="0">
      <selection activeCell="R19" sqref="R19"/>
    </sheetView>
  </sheetViews>
  <sheetFormatPr defaultRowHeight="14.4" x14ac:dyDescent="0.3"/>
  <cols>
    <col min="1" max="1" width="11.33203125" customWidth="1"/>
    <col min="2" max="2" width="22.33203125" customWidth="1"/>
    <col min="3" max="3" width="20" customWidth="1"/>
    <col min="4" max="4" width="22.6640625" customWidth="1"/>
    <col min="5" max="5" width="17.6640625" customWidth="1"/>
    <col min="6" max="6" width="16.6640625" bestFit="1" customWidth="1"/>
    <col min="7" max="7" width="11.109375" bestFit="1" customWidth="1"/>
  </cols>
  <sheetData>
    <row r="4" spans="2:5" x14ac:dyDescent="0.3">
      <c r="B4" s="12" t="s">
        <v>24</v>
      </c>
      <c r="C4" s="12"/>
      <c r="E4" s="13">
        <v>6889</v>
      </c>
    </row>
    <row r="5" spans="2:5" x14ac:dyDescent="0.3">
      <c r="B5" s="12"/>
      <c r="C5" s="12"/>
      <c r="E5" s="13"/>
    </row>
    <row r="8" spans="2:5" x14ac:dyDescent="0.3">
      <c r="B8" s="14" t="s">
        <v>28</v>
      </c>
      <c r="C8" s="14"/>
    </row>
    <row r="9" spans="2:5" x14ac:dyDescent="0.3">
      <c r="B9" s="14"/>
      <c r="C9" s="14"/>
    </row>
    <row r="10" spans="2:5" ht="21" x14ac:dyDescent="0.4">
      <c r="B10" s="15"/>
      <c r="C10" s="15"/>
    </row>
    <row r="13" spans="2:5" x14ac:dyDescent="0.3">
      <c r="C13" t="s">
        <v>29</v>
      </c>
      <c r="D13" t="s">
        <v>30</v>
      </c>
    </row>
    <row r="14" spans="2:5" x14ac:dyDescent="0.3">
      <c r="C14" t="s">
        <v>31</v>
      </c>
      <c r="D14">
        <v>2933</v>
      </c>
    </row>
    <row r="15" spans="2:5" x14ac:dyDescent="0.3">
      <c r="C15" t="s">
        <v>32</v>
      </c>
      <c r="D15">
        <v>2647</v>
      </c>
    </row>
    <row r="16" spans="2:5" x14ac:dyDescent="0.3">
      <c r="C16" t="s">
        <v>33</v>
      </c>
      <c r="D16">
        <v>2612</v>
      </c>
    </row>
    <row r="17" spans="1:5" x14ac:dyDescent="0.3">
      <c r="C17" t="s">
        <v>34</v>
      </c>
      <c r="D17">
        <v>2527</v>
      </c>
    </row>
    <row r="18" spans="1:5" x14ac:dyDescent="0.3">
      <c r="C18" t="s">
        <v>35</v>
      </c>
      <c r="D18">
        <v>2513</v>
      </c>
    </row>
    <row r="28" spans="1:5" ht="14.4" customHeight="1" x14ac:dyDescent="0.3"/>
    <row r="29" spans="1:5" ht="14.4" customHeight="1" x14ac:dyDescent="0.3">
      <c r="A29" s="10" t="s">
        <v>9</v>
      </c>
      <c r="B29" s="10"/>
      <c r="C29" s="10"/>
      <c r="D29" s="10"/>
      <c r="E29" s="10"/>
    </row>
    <row r="30" spans="1:5" ht="14.4" customHeight="1" x14ac:dyDescent="0.3">
      <c r="A30" s="10"/>
      <c r="B30" s="10"/>
      <c r="C30" s="10"/>
      <c r="D30" s="10"/>
      <c r="E30" s="10"/>
    </row>
    <row r="32" spans="1:5" x14ac:dyDescent="0.3">
      <c r="B32" t="s">
        <v>0</v>
      </c>
      <c r="C32" t="s">
        <v>8</v>
      </c>
    </row>
    <row r="33" spans="1:13" x14ac:dyDescent="0.3">
      <c r="B33">
        <v>0</v>
      </c>
      <c r="C33">
        <v>111158</v>
      </c>
    </row>
    <row r="34" spans="1:13" x14ac:dyDescent="0.3">
      <c r="B34">
        <v>1</v>
      </c>
      <c r="C34">
        <v>13842</v>
      </c>
    </row>
    <row r="37" spans="1:13" ht="21" x14ac:dyDescent="0.4">
      <c r="A37" s="9" t="s">
        <v>10</v>
      </c>
      <c r="B37" s="5"/>
    </row>
    <row r="42" spans="1:13" ht="21" x14ac:dyDescent="0.4">
      <c r="A42" s="9" t="s">
        <v>11</v>
      </c>
    </row>
    <row r="43" spans="1:13" x14ac:dyDescent="0.3">
      <c r="I43" s="2"/>
      <c r="J43" s="2"/>
      <c r="K43" s="2"/>
      <c r="L43" s="2"/>
      <c r="M43" s="1"/>
    </row>
    <row r="44" spans="1:13" x14ac:dyDescent="0.3">
      <c r="I44" s="2"/>
      <c r="J44" s="3"/>
      <c r="K44" s="4"/>
      <c r="L44" s="3"/>
      <c r="M44" s="3"/>
    </row>
    <row r="45" spans="1:13" x14ac:dyDescent="0.3">
      <c r="I45" s="2"/>
      <c r="J45" s="3"/>
      <c r="K45" s="4"/>
      <c r="L45" s="3"/>
      <c r="M45" s="3"/>
    </row>
    <row r="46" spans="1:13" x14ac:dyDescent="0.3">
      <c r="I46" s="2"/>
      <c r="J46" s="3"/>
      <c r="K46" s="4"/>
      <c r="L46" s="3"/>
      <c r="M46" s="3"/>
    </row>
    <row r="47" spans="1:13" x14ac:dyDescent="0.3">
      <c r="I47" s="2"/>
      <c r="J47" s="3"/>
      <c r="K47" s="4"/>
      <c r="L47" s="3"/>
      <c r="M47" s="3"/>
    </row>
    <row r="48" spans="1:13" x14ac:dyDescent="0.3">
      <c r="B48" s="11" t="s">
        <v>26</v>
      </c>
      <c r="C48" s="11"/>
      <c r="I48" s="2"/>
      <c r="J48" s="3"/>
      <c r="K48" s="4"/>
      <c r="L48" s="3"/>
      <c r="M48" s="3"/>
    </row>
    <row r="49" spans="1:6" x14ac:dyDescent="0.3">
      <c r="B49" s="11"/>
      <c r="C49" s="11"/>
    </row>
    <row r="56" spans="1:6" x14ac:dyDescent="0.3">
      <c r="B56" t="s">
        <v>12</v>
      </c>
      <c r="C56" t="s">
        <v>13</v>
      </c>
      <c r="D56" t="s">
        <v>14</v>
      </c>
      <c r="E56" t="s">
        <v>15</v>
      </c>
      <c r="F56" t="s">
        <v>16</v>
      </c>
    </row>
    <row r="57" spans="1:6" x14ac:dyDescent="0.3">
      <c r="B57">
        <v>2011</v>
      </c>
      <c r="C57">
        <v>1340339</v>
      </c>
    </row>
    <row r="58" spans="1:6" x14ac:dyDescent="0.3">
      <c r="B58">
        <v>2012</v>
      </c>
      <c r="C58">
        <v>2116599</v>
      </c>
      <c r="D58">
        <v>1340339</v>
      </c>
      <c r="E58">
        <v>776260</v>
      </c>
      <c r="F58" s="8">
        <v>57.915199065311</v>
      </c>
    </row>
    <row r="59" spans="1:6" x14ac:dyDescent="0.3">
      <c r="B59">
        <v>2013</v>
      </c>
      <c r="C59">
        <v>2137368</v>
      </c>
      <c r="D59">
        <v>2116599</v>
      </c>
      <c r="E59">
        <v>20769</v>
      </c>
      <c r="F59" s="8">
        <v>0.98124396732682895</v>
      </c>
    </row>
    <row r="60" spans="1:6" x14ac:dyDescent="0.3">
      <c r="B60">
        <v>2014</v>
      </c>
      <c r="C60">
        <v>2094508</v>
      </c>
      <c r="D60">
        <v>2137368</v>
      </c>
      <c r="E60">
        <v>-42860</v>
      </c>
      <c r="F60" s="8">
        <v>-2.0052700330499902</v>
      </c>
    </row>
    <row r="61" spans="1:6" x14ac:dyDescent="0.3">
      <c r="B61">
        <v>2015</v>
      </c>
      <c r="C61">
        <v>435175</v>
      </c>
      <c r="D61">
        <v>2094508</v>
      </c>
      <c r="E61">
        <v>-1659333</v>
      </c>
      <c r="F61" s="8">
        <v>-79.223044266242894</v>
      </c>
    </row>
    <row r="63" spans="1:6" ht="18" x14ac:dyDescent="0.35">
      <c r="A63" s="6" t="s">
        <v>10</v>
      </c>
    </row>
    <row r="71" spans="1:1" ht="18" x14ac:dyDescent="0.35">
      <c r="A71" s="6" t="s">
        <v>10</v>
      </c>
    </row>
    <row r="77" spans="1:1" ht="18" x14ac:dyDescent="0.35">
      <c r="A77" s="6" t="s">
        <v>11</v>
      </c>
    </row>
    <row r="84" spans="2:6" ht="14.4" customHeight="1" x14ac:dyDescent="0.3"/>
    <row r="85" spans="2:6" ht="14.4" customHeight="1" x14ac:dyDescent="0.3"/>
    <row r="90" spans="2:6" x14ac:dyDescent="0.3">
      <c r="B90" s="11" t="s">
        <v>25</v>
      </c>
      <c r="C90" s="11"/>
    </row>
    <row r="91" spans="2:6" x14ac:dyDescent="0.3">
      <c r="B91" s="11"/>
      <c r="C91" s="11"/>
    </row>
    <row r="95" spans="2:6" x14ac:dyDescent="0.3">
      <c r="B95" t="s">
        <v>17</v>
      </c>
      <c r="C95" t="s">
        <v>18</v>
      </c>
      <c r="D95" t="s">
        <v>19</v>
      </c>
      <c r="E95" t="s">
        <v>20</v>
      </c>
      <c r="F95" t="s">
        <v>21</v>
      </c>
    </row>
    <row r="96" spans="2:6" x14ac:dyDescent="0.3">
      <c r="B96">
        <v>1</v>
      </c>
      <c r="C96">
        <v>724107</v>
      </c>
    </row>
    <row r="97" spans="2:6" x14ac:dyDescent="0.3">
      <c r="B97">
        <v>2</v>
      </c>
      <c r="C97">
        <v>645154</v>
      </c>
      <c r="D97">
        <v>724107</v>
      </c>
      <c r="E97">
        <v>-78953</v>
      </c>
      <c r="F97" s="8">
        <v>-10.9034990685078</v>
      </c>
    </row>
    <row r="98" spans="2:6" x14ac:dyDescent="0.3">
      <c r="B98">
        <v>3</v>
      </c>
      <c r="C98">
        <v>636577</v>
      </c>
      <c r="D98">
        <v>645154</v>
      </c>
      <c r="E98">
        <v>-8577</v>
      </c>
      <c r="F98" s="8">
        <v>-1.3294500227852499</v>
      </c>
    </row>
    <row r="99" spans="2:6" x14ac:dyDescent="0.3">
      <c r="B99">
        <v>4</v>
      </c>
      <c r="C99">
        <v>515791</v>
      </c>
      <c r="D99">
        <v>636577</v>
      </c>
      <c r="E99">
        <v>-120786</v>
      </c>
      <c r="F99" s="8">
        <v>-18.974295332693401</v>
      </c>
    </row>
    <row r="100" spans="2:6" x14ac:dyDescent="0.3">
      <c r="B100">
        <v>5</v>
      </c>
      <c r="C100">
        <v>633212</v>
      </c>
      <c r="D100">
        <v>515791</v>
      </c>
      <c r="E100">
        <v>117421</v>
      </c>
      <c r="F100" s="8">
        <v>22.7652285518746</v>
      </c>
    </row>
    <row r="101" spans="2:6" x14ac:dyDescent="0.3">
      <c r="B101">
        <v>6</v>
      </c>
      <c r="C101">
        <v>697014</v>
      </c>
      <c r="D101">
        <v>633212</v>
      </c>
      <c r="E101">
        <v>63802</v>
      </c>
      <c r="F101" s="8">
        <v>10.075930336127501</v>
      </c>
    </row>
    <row r="102" spans="2:6" x14ac:dyDescent="0.3">
      <c r="B102">
        <v>7</v>
      </c>
      <c r="C102">
        <v>717223</v>
      </c>
      <c r="D102">
        <v>697014</v>
      </c>
      <c r="E102">
        <v>20209</v>
      </c>
      <c r="F102" s="8">
        <v>2.8993678749637701</v>
      </c>
    </row>
    <row r="103" spans="2:6" x14ac:dyDescent="0.3">
      <c r="B103">
        <v>8</v>
      </c>
      <c r="C103">
        <v>726921</v>
      </c>
      <c r="D103">
        <v>717223</v>
      </c>
      <c r="E103">
        <v>9698</v>
      </c>
      <c r="F103" s="8">
        <v>1.3521596490909999</v>
      </c>
    </row>
    <row r="104" spans="2:6" x14ac:dyDescent="0.3">
      <c r="B104">
        <v>9</v>
      </c>
      <c r="C104">
        <v>694433</v>
      </c>
      <c r="D104">
        <v>726921</v>
      </c>
      <c r="E104">
        <v>-32488</v>
      </c>
      <c r="F104" s="8">
        <v>-4.4692614465670903</v>
      </c>
    </row>
    <row r="105" spans="2:6" x14ac:dyDescent="0.3">
      <c r="B105">
        <v>10</v>
      </c>
      <c r="C105">
        <v>725320</v>
      </c>
      <c r="D105">
        <v>694433</v>
      </c>
      <c r="E105">
        <v>30887</v>
      </c>
      <c r="F105" s="8">
        <v>4.4478012997654197</v>
      </c>
    </row>
    <row r="106" spans="2:6" x14ac:dyDescent="0.3">
      <c r="B106">
        <v>11</v>
      </c>
      <c r="C106">
        <v>698273</v>
      </c>
      <c r="D106">
        <v>725320</v>
      </c>
      <c r="E106">
        <v>-27047</v>
      </c>
      <c r="F106" s="8">
        <v>-3.7289747973308298</v>
      </c>
    </row>
    <row r="107" spans="2:6" x14ac:dyDescent="0.3">
      <c r="B107">
        <v>12</v>
      </c>
      <c r="C107">
        <v>709964</v>
      </c>
      <c r="D107">
        <v>698273</v>
      </c>
      <c r="E107">
        <v>11691</v>
      </c>
      <c r="F107" s="8">
        <v>1.6742735291211299</v>
      </c>
    </row>
    <row r="116" spans="1:1" ht="18" x14ac:dyDescent="0.35">
      <c r="A116" s="6" t="s">
        <v>10</v>
      </c>
    </row>
    <row r="137" spans="2:5" x14ac:dyDescent="0.3">
      <c r="B137" s="11" t="s">
        <v>22</v>
      </c>
      <c r="C137" s="11"/>
    </row>
    <row r="138" spans="2:5" x14ac:dyDescent="0.3">
      <c r="B138" s="11"/>
      <c r="C138" s="11"/>
    </row>
    <row r="141" spans="2:5" x14ac:dyDescent="0.3">
      <c r="D141" t="s">
        <v>1</v>
      </c>
      <c r="E141" t="s">
        <v>23</v>
      </c>
    </row>
    <row r="142" spans="2:5" x14ac:dyDescent="0.3">
      <c r="D142" t="s">
        <v>2</v>
      </c>
      <c r="E142">
        <v>1251</v>
      </c>
    </row>
    <row r="143" spans="2:5" x14ac:dyDescent="0.3">
      <c r="D143" t="s">
        <v>3</v>
      </c>
      <c r="E143">
        <v>5</v>
      </c>
    </row>
    <row r="144" spans="2:5" x14ac:dyDescent="0.3">
      <c r="D144" t="s">
        <v>4</v>
      </c>
      <c r="E144">
        <v>1220</v>
      </c>
    </row>
    <row r="145" spans="1:5" x14ac:dyDescent="0.3">
      <c r="D145" t="s">
        <v>5</v>
      </c>
      <c r="E145">
        <v>1354</v>
      </c>
    </row>
    <row r="146" spans="1:5" x14ac:dyDescent="0.3">
      <c r="D146" t="s">
        <v>6</v>
      </c>
      <c r="E146">
        <v>1516</v>
      </c>
    </row>
    <row r="147" spans="1:5" x14ac:dyDescent="0.3">
      <c r="D147" t="s">
        <v>7</v>
      </c>
      <c r="E147">
        <v>1543</v>
      </c>
    </row>
    <row r="149" spans="1:5" ht="18" x14ac:dyDescent="0.35">
      <c r="A149" s="6" t="s">
        <v>10</v>
      </c>
    </row>
    <row r="162" spans="1:11" x14ac:dyDescent="0.3">
      <c r="K162">
        <f>1251+1354</f>
        <v>2605</v>
      </c>
    </row>
    <row r="165" spans="1:11" ht="18" x14ac:dyDescent="0.35">
      <c r="A165" s="6" t="s">
        <v>11</v>
      </c>
    </row>
    <row r="175" spans="1:11" x14ac:dyDescent="0.3">
      <c r="D175" t="s">
        <v>1</v>
      </c>
      <c r="E175" t="s">
        <v>27</v>
      </c>
    </row>
    <row r="176" spans="1:11" x14ac:dyDescent="0.3">
      <c r="D176" t="s">
        <v>2</v>
      </c>
      <c r="E176" s="7">
        <v>18.159384526056002</v>
      </c>
    </row>
    <row r="177" spans="4:5" x14ac:dyDescent="0.3">
      <c r="D177" t="s">
        <v>3</v>
      </c>
      <c r="E177" s="7">
        <v>7.2579474524604407E-2</v>
      </c>
    </row>
    <row r="178" spans="4:5" x14ac:dyDescent="0.3">
      <c r="D178" t="s">
        <v>4</v>
      </c>
      <c r="E178" s="7">
        <v>17.709391784003401</v>
      </c>
    </row>
    <row r="179" spans="4:5" x14ac:dyDescent="0.3">
      <c r="D179" t="s">
        <v>5</v>
      </c>
      <c r="E179" s="7">
        <v>19.654521701262802</v>
      </c>
    </row>
    <row r="180" spans="4:5" x14ac:dyDescent="0.3">
      <c r="D180" t="s">
        <v>6</v>
      </c>
      <c r="E180" s="7">
        <v>22.00609667586</v>
      </c>
    </row>
    <row r="181" spans="4:5" x14ac:dyDescent="0.3">
      <c r="D181" t="s">
        <v>7</v>
      </c>
      <c r="E181" s="7">
        <v>22.398025838292899</v>
      </c>
    </row>
  </sheetData>
  <mergeCells count="7">
    <mergeCell ref="A29:E30"/>
    <mergeCell ref="B137:C138"/>
    <mergeCell ref="B4:C5"/>
    <mergeCell ref="E4:E5"/>
    <mergeCell ref="B48:C49"/>
    <mergeCell ref="B90:C91"/>
    <mergeCell ref="B8:C9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Reportng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Aggarwal</dc:creator>
  <cp:lastModifiedBy>Himanshu Aggarwal</cp:lastModifiedBy>
  <dcterms:created xsi:type="dcterms:W3CDTF">2026-02-07T19:09:02Z</dcterms:created>
  <dcterms:modified xsi:type="dcterms:W3CDTF">2026-02-09T19:37:50Z</dcterms:modified>
</cp:coreProperties>
</file>